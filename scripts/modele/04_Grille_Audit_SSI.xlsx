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a39cb7ae194c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AUTODIAGNOSTIC" sheetId="1" r:id="R1947e058a33f4a33"/>
    <x:sheet xmlns:r="http://schemas.openxmlformats.org/officeDocument/2006/relationships" name="02_MATURITE_EFFECTIVE" sheetId="2" r:id="Rea38edeb526f449f"/>
    <x:sheet xmlns:r="http://schemas.openxmlformats.org/officeDocument/2006/relationships" name="03_CONSTATS_TECHNIQUES" sheetId="3" r:id="Ra490f63fc11b48b4"/>
    <x:sheet xmlns:r="http://schemas.openxmlformats.org/officeDocument/2006/relationships" name="04_REGISTRE_RISQUES" sheetId="4" r:id="R1a7c183842af45e7"/>
    <x:sheet xmlns:r="http://schemas.openxmlformats.org/officeDocument/2006/relationships" name="05_PLAN_ACTION" sheetId="5" r:id="R78c0eac1314148e2"/>
    <x:sheet xmlns:r="http://schemas.openxmlformats.org/officeDocument/2006/relationships" name="06_BAREME" sheetId="6" r:id="R66734fffc1e246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452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590187eaf44837" /><Relationship Type="http://schemas.openxmlformats.org/officeDocument/2006/relationships/theme" Target="/xl/theme/theme1.xml" Id="Ra7c5ca812a03470b" /><Relationship Type="http://schemas.openxmlformats.org/officeDocument/2006/relationships/sharedStrings" Target="/xl/sharedStrings.xml" Id="Rfe4a1d5d3bc4428d" /><Relationship Type="http://schemas.openxmlformats.org/officeDocument/2006/relationships/worksheet" Target="/xl/worksheets/sheet1.xml" Id="R1947e058a33f4a33" /><Relationship Type="http://schemas.openxmlformats.org/officeDocument/2006/relationships/worksheet" Target="/xl/worksheets/sheet2.xml" Id="Rea38edeb526f449f" /><Relationship Type="http://schemas.openxmlformats.org/officeDocument/2006/relationships/worksheet" Target="/xl/worksheets/sheet3.xml" Id="Ra490f63fc11b48b4" /><Relationship Type="http://schemas.openxmlformats.org/officeDocument/2006/relationships/worksheet" Target="/xl/worksheets/sheet4.xml" Id="R1a7c183842af45e7" /><Relationship Type="http://schemas.openxmlformats.org/officeDocument/2006/relationships/worksheet" Target="/xl/worksheets/sheet5.xml" Id="R78c0eac1314148e2" /><Relationship Type="http://schemas.openxmlformats.org/officeDocument/2006/relationships/worksheet" Target="/xl/worksheets/sheet6.xml" Id="R66734fffc1e2462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5" hidden="0" customWidth="1"/>
    <x:col min="2" max="2" width="31" hidden="0" customWidth="1"/>
    <x:col min="3" max="3" width="13" hidden="0" customWidth="1"/>
    <x:col min="4" max="4" width="19" hidden="0" customWidth="1"/>
    <x:col min="5" max="5" width="56" hidden="0" customWidth="1"/>
    <x:col min="6" max="6" width="18" hidden="0" customWidth="1"/>
  </x:cols>
  <x:sheetData>
    <x:row r="1" ht="37" customHeight="1">
      <x:c r="A1" s="5" t="str">
        <x:v>ID</x:v>
      </x:c>
      <x:c r="B1" s="5" t="str">
        <x:v>Question DCSSI</x:v>
      </x:c>
      <x:c r="C1" s="5" t="str">
        <x:v>Note 0–3</x:v>
      </x:c>
      <x:c r="D1" s="5" t="str">
        <x:v>Références P/T</x:v>
      </x:c>
      <x:c r="E1" s="5" t="str">
        <x:v>Justification factuelle</x:v>
      </x:c>
      <x:c r="F1" s="5" t="str">
        <x:v>Confiance</x:v>
      </x:c>
    </x:row>
    <x:row r="2" ht="32" customHeight="1">
      <x:c r="A2" s="10" t="str">
        <x:v>Q01</x:v>
      </x:c>
      <x:c r="B2" s="10" t="str">
        <x:v>Adhérence du SI aux missions</x:v>
      </x:c>
      <x:c r="C2" s="10"/>
      <x:c r="D2" s="10" t="str"/>
      <x:c r="E2" s="10" t="str"/>
      <x:c r="F2" s="10" t="str">
        <x:v>À vérifier</x:v>
      </x:c>
    </x:row>
    <x:row r="3" ht="32" customHeight="1">
      <x:c r="A3" s="10" t="str">
        <x:v>Q02</x:v>
      </x:c>
      <x:c r="B3" s="10" t="str">
        <x:v>Impacts internes</x:v>
      </x:c>
      <x:c r="C3" s="10"/>
      <x:c r="D3" s="10" t="str"/>
      <x:c r="E3" s="10" t="str"/>
      <x:c r="F3" s="10" t="str">
        <x:v>À vérifier</x:v>
      </x:c>
    </x:row>
    <x:row r="4" ht="32" customHeight="1">
      <x:c r="A4" s="10" t="str">
        <x:v>Q03</x:v>
      </x:c>
      <x:c r="B4" s="10" t="str">
        <x:v>Impacts externes</x:v>
      </x:c>
      <x:c r="C4" s="10"/>
      <x:c r="D4" s="10" t="str"/>
      <x:c r="E4" s="10" t="str"/>
      <x:c r="F4" s="10" t="str">
        <x:v>À vérifier</x:v>
      </x:c>
    </x:row>
    <x:row r="5" ht="32" customHeight="1">
      <x:c r="A5" s="10" t="str">
        <x:v>Q04</x:v>
      </x:c>
      <x:c r="B5" s="10" t="str">
        <x:v>Disponibilité</x:v>
      </x:c>
      <x:c r="C5" s="10"/>
      <x:c r="D5" s="10" t="str"/>
      <x:c r="E5" s="10" t="str"/>
      <x:c r="F5" s="10" t="str">
        <x:v>À vérifier</x:v>
      </x:c>
    </x:row>
    <x:row r="6" ht="32" customHeight="1">
      <x:c r="A6" s="10" t="str">
        <x:v>Q05</x:v>
      </x:c>
      <x:c r="B6" s="10" t="str">
        <x:v>Intégrité</x:v>
      </x:c>
      <x:c r="C6" s="10"/>
      <x:c r="D6" s="10" t="str"/>
      <x:c r="E6" s="10" t="str"/>
      <x:c r="F6" s="10" t="str">
        <x:v>À vérifier</x:v>
      </x:c>
    </x:row>
    <x:row r="7" ht="32" customHeight="1">
      <x:c r="A7" s="10" t="str">
        <x:v>Q06</x:v>
      </x:c>
      <x:c r="B7" s="10" t="str">
        <x:v>Confidentialité</x:v>
      </x:c>
      <x:c r="C7" s="10"/>
      <x:c r="D7" s="10" t="str"/>
      <x:c r="E7" s="10" t="str"/>
      <x:c r="F7" s="10" t="str">
        <x:v>À vérifier</x:v>
      </x:c>
    </x:row>
    <x:row r="8" ht="32" customHeight="1">
      <x:c r="A8" s="10" t="str">
        <x:v>Q07</x:v>
      </x:c>
      <x:c r="B8" s="10" t="str">
        <x:v>Fréquence des sinistres</x:v>
      </x:c>
      <x:c r="C8" s="10"/>
      <x:c r="D8" s="10" t="str"/>
      <x:c r="E8" s="10" t="str"/>
      <x:c r="F8" s="10" t="str">
        <x:v>À vérifier</x:v>
      </x:c>
    </x:row>
    <x:row r="9" ht="32" customHeight="1">
      <x:c r="A9" s="10" t="str">
        <x:v>Q08</x:v>
      </x:c>
      <x:c r="B9" s="10" t="str">
        <x:v>Motivation des attaquants</x:v>
      </x:c>
      <x:c r="C9" s="10"/>
      <x:c r="D9" s="10" t="str"/>
      <x:c r="E9" s="10" t="str"/>
      <x:c r="F9" s="10" t="str">
        <x:v>À vérifier</x:v>
      </x:c>
    </x:row>
    <x:row r="10" ht="32" customHeight="1">
      <x:c r="A10" s="10" t="str">
        <x:v>Q09</x:v>
      </x:c>
      <x:c r="B10" s="10" t="str">
        <x:v>Moyens des attaquants</x:v>
      </x:c>
      <x:c r="C10" s="10"/>
      <x:c r="D10" s="10" t="str"/>
      <x:c r="E10" s="10" t="str"/>
      <x:c r="F10" s="10" t="str">
        <x:v>À vérifier</x:v>
      </x:c>
    </x:row>
    <x:row r="11" ht="32" customHeight="1">
      <x:c r="A11" s="10" t="str">
        <x:v>Q10</x:v>
      </x:c>
      <x:c r="B11" s="10" t="str">
        <x:v>Hétérogénéité du SI</x:v>
      </x:c>
      <x:c r="C11" s="10"/>
      <x:c r="D11" s="10" t="str"/>
      <x:c r="E11" s="10" t="str"/>
      <x:c r="F11" s="10" t="str">
        <x:v>À vérifier</x:v>
      </x:c>
    </x:row>
    <x:row r="12" ht="32" customHeight="1">
      <x:c r="A12" s="10" t="str">
        <x:v>Q11</x:v>
      </x:c>
      <x:c r="B12" s="10" t="str">
        <x:v>Ouverture du SI</x:v>
      </x:c>
      <x:c r="C12" s="10"/>
      <x:c r="D12" s="10" t="str"/>
      <x:c r="E12" s="10" t="str"/>
      <x:c r="F12" s="10" t="str">
        <x:v>À vérifier</x:v>
      </x:c>
    </x:row>
    <x:row r="13" ht="32" customHeight="1">
      <x:c r="A13" s="10" t="str">
        <x:v>Q12</x:v>
      </x:c>
      <x:c r="B13" s="10" t="str">
        <x:v>Variabilité du SI</x:v>
      </x:c>
      <x:c r="C13" s="10"/>
      <x:c r="D13" s="10" t="str"/>
      <x:c r="E13" s="10" t="str"/>
      <x:c r="F13" s="10" t="str">
        <x:v>À vérifier</x:v>
      </x:c>
    </x:row>
    <x:row r="16">
      <x:c r="A16" s="10" t="str">
        <x:v>Conséquences (Q01–03)</x:v>
      </x:c>
      <x:c r="B16" s="10" t="str">
        <x:f>IF(COUNT(C2:C4)&lt;3,"",MAX(C2:C4))</x:f>
      </x:c>
    </x:row>
    <x:row r="17">
      <x:c r="A17" s="10" t="str">
        <x:v>Sensibilité (Q04–06)</x:v>
      </x:c>
      <x:c r="B17" s="10" t="str">
        <x:f>IF(COUNT(C5:C7)&lt;3,"",MAX(C5:C7))</x:f>
      </x:c>
    </x:row>
    <x:row r="18">
      <x:c r="A18" s="10" t="str">
        <x:v>Menaces (Q07–09)</x:v>
      </x:c>
      <x:c r="B18" s="10" t="str">
        <x:f>IF(COUNT(C8:C10)&lt;3,"",MAX(C8:C10))</x:f>
      </x:c>
    </x:row>
    <x:row r="19">
      <x:c r="A19" s="10" t="str">
        <x:v>Vulnérabilités (Q10–12)</x:v>
      </x:c>
      <x:c r="B19" s="10" t="str">
        <x:f>IF(COUNT(C11:C13)&lt;3,"",MAX(C11:C13))</x:f>
      </x:c>
    </x:row>
    <x:row r="20">
      <x:c r="A20" s="10" t="str">
        <x:v>Somme des 4 maxima</x:v>
      </x:c>
      <x:c r="B20" s="10" t="str">
        <x:f>IF(COUNT(B16:B19)&lt;4,"",SUM(B16:B19))</x:f>
      </x:c>
    </x:row>
    <x:row r="21">
      <x:c r="A21" s="10" t="str">
        <x:v>Niveau adéquat calculé</x:v>
      </x:c>
      <x:c r="B21" s="10" t="str">
        <x:f>IF(B20="","",IF(B20&lt;=2,1,IF(B20&lt;=5,2,IF(B20&lt;=8,3,IF(B20&lt;=10,4,5)))))</x:f>
      </x:c>
    </x:row>
    <x:row r="22">
      <x:c r="A22" s="10" t="str">
        <x:v>Ajustement justifié (−1/0/+1)</x:v>
      </x:c>
      <x:c r="B22" s="10" t="n">
        <x:v>0</x:v>
      </x:c>
    </x:row>
    <x:row r="23">
      <x:c r="A23" s="10" t="str">
        <x:v>Cible proposée</x:v>
      </x:c>
      <x:c r="B23" s="10" t="str">
        <x:f>IF(B21="","",MAX(1,MIN(5,B21+B22)))</x:f>
      </x:c>
    </x:row>
  </x:sheetData>
  <x:dataValidations count="2">
    <x:dataValidation type="list" sqref="C2:C13">
      <x:formula1>"0,1,2,3"</x:formula1>
    </x:dataValidation>
    <x:dataValidation type="list" sqref="F2:F13">
      <x:formula1>"Confirmé,Probable,Incertain,Non démontré,À vérifier"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3" hidden="0" customWidth="1"/>
    <x:col min="2" max="2" width="16" hidden="0" customWidth="1"/>
    <x:col min="3" max="3" width="18" hidden="0" customWidth="1"/>
    <x:col min="4" max="4" width="20" hidden="0" customWidth="1"/>
    <x:col min="5" max="5" width="51" hidden="0" customWidth="1"/>
    <x:col min="6" max="6" width="19" hidden="0" customWidth="1"/>
    <x:col min="7" max="7" width="46" hidden="0" customWidth="1"/>
  </x:cols>
  <x:sheetData>
    <x:row r="1" ht="32" customHeight="1">
      <x:c r="A1" s="5" t="str">
        <x:v>Processus DCSSI</x:v>
      </x:c>
      <x:c r="B1" s="5" t="str">
        <x:v>Niveau revendiqué</x:v>
      </x:c>
      <x:c r="C1" s="5" t="str">
        <x:v>Niveau effectif 0–5</x:v>
      </x:c>
      <x:c r="D1" s="5" t="str">
        <x:v>Preuves P/T</x:v>
      </x:c>
      <x:c r="E1" s="5" t="str">
        <x:v>Exigences manquantes / réserve</x:v>
      </x:c>
      <x:c r="F1" s="5" t="str">
        <x:v>Écart cible–effectif</x:v>
      </x:c>
      <x:c r="G1" s="5" t="str">
        <x:v>Action de progression</x:v>
      </x:c>
    </x:row>
    <x:row r="2" ht="32" customHeight="1">
      <x:c r="A2" s="10" t="str">
        <x:v>Définir la stratégie SSI</x:v>
      </x:c>
      <x:c r="B2" s="10"/>
      <x:c r="C2" s="10"/>
      <x:c r="D2" s="10" t="str"/>
      <x:c r="E2" s="10" t="str"/>
      <x:c r="F2" s="10" t="str">
        <x:f>IF(OR(C2="",'01_AUTODIAGNOSTIC'!B23=""),"",MAX(0,'01_AUTODIAGNOSTIC'!B23-C2))</x:f>
      </x:c>
      <x:c r="G2" s="10" t="str"/>
    </x:row>
    <x:row r="3" ht="32" customHeight="1">
      <x:c r="A3" s="10" t="str">
        <x:v>Gérer les risques SSI</x:v>
      </x:c>
      <x:c r="B3" s="10"/>
      <x:c r="C3" s="10"/>
      <x:c r="D3" s="10" t="str"/>
      <x:c r="E3" s="10" t="str"/>
      <x:c r="F3" s="10" t="str">
        <x:f>IF(OR(C3="",'01_AUTODIAGNOSTIC'!B23=""),"",MAX(0,'01_AUTODIAGNOSTIC'!B23-C3))</x:f>
      </x:c>
      <x:c r="G3" s="10" t="str"/>
    </x:row>
    <x:row r="4" ht="32" customHeight="1">
      <x:c r="A4" s="10" t="str">
        <x:v>Gérer les règles SSI</x:v>
      </x:c>
      <x:c r="B4" s="10"/>
      <x:c r="C4" s="10"/>
      <x:c r="D4" s="10" t="str"/>
      <x:c r="E4" s="10" t="str"/>
      <x:c r="F4" s="10" t="str">
        <x:f>IF(OR(C4="",'01_AUTODIAGNOSTIC'!B23=""),"",MAX(0,'01_AUTODIAGNOSTIC'!B23-C4))</x:f>
      </x:c>
      <x:c r="G4" s="10" t="str"/>
    </x:row>
    <x:row r="5" ht="32" customHeight="1">
      <x:c r="A5" s="10" t="str">
        <x:v>Superviser la SSI</x:v>
      </x:c>
      <x:c r="B5" s="10"/>
      <x:c r="C5" s="10"/>
      <x:c r="D5" s="10" t="str"/>
      <x:c r="E5" s="10" t="str"/>
      <x:c r="F5" s="10" t="str">
        <x:f>IF(OR(C5="",'01_AUTODIAGNOSTIC'!B23=""),"",MAX(0,'01_AUTODIAGNOSTIC'!B23-C5))</x:f>
      </x:c>
      <x:c r="G5" s="10" t="str"/>
    </x:row>
    <x:row r="6" ht="32" customHeight="1">
      <x:c r="A6" s="10" t="str">
        <x:v>Concevoir les mesures SSI</x:v>
      </x:c>
      <x:c r="B6" s="10"/>
      <x:c r="C6" s="10"/>
      <x:c r="D6" s="10" t="str"/>
      <x:c r="E6" s="10" t="str"/>
      <x:c r="F6" s="10" t="str">
        <x:f>IF(OR(C6="",'01_AUTODIAGNOSTIC'!B23=""),"",MAX(0,'01_AUTODIAGNOSTIC'!B23-C6))</x:f>
      </x:c>
      <x:c r="G6" s="10" t="str"/>
    </x:row>
    <x:row r="7" ht="32" customHeight="1">
      <x:c r="A7" s="10" t="str">
        <x:v>Réaliser les mesures SSI</x:v>
      </x:c>
      <x:c r="B7" s="10"/>
      <x:c r="C7" s="10"/>
      <x:c r="D7" s="10" t="str"/>
      <x:c r="E7" s="10" t="str"/>
      <x:c r="F7" s="10" t="str">
        <x:f>IF(OR(C7="",'01_AUTODIAGNOSTIC'!B23=""),"",MAX(0,'01_AUTODIAGNOSTIC'!B23-C7))</x:f>
      </x:c>
      <x:c r="G7" s="10" t="str"/>
    </x:row>
    <x:row r="8" ht="32" customHeight="1">
      <x:c r="A8" s="10" t="str">
        <x:v>Exploiter les mesures SSI</x:v>
      </x:c>
      <x:c r="B8" s="10"/>
      <x:c r="C8" s="10"/>
      <x:c r="D8" s="10" t="str"/>
      <x:c r="E8" s="10" t="str"/>
      <x:c r="F8" s="10" t="str">
        <x:f>IF(OR(C8="",'01_AUTODIAGNOSTIC'!B23=""),"",MAX(0,'01_AUTODIAGNOSTIC'!B23-C8))</x:f>
      </x:c>
      <x:c r="G8" s="10" t="str"/>
    </x:row>
  </x:sheetData>
  <x:dataValidations count="1">
    <x:dataValidation type="list" sqref="C2:C8">
      <x:formula1>"0,1,2,3,4,5"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3" hidden="0" customWidth="1"/>
    <x:col min="3" max="3" width="45" hidden="0" customWidth="1"/>
    <x:col min="4" max="4" width="32" hidden="0" customWidth="1"/>
    <x:col min="5" max="5" width="35" hidden="0" customWidth="1"/>
    <x:col min="6" max="6" width="44" hidden="0" customWidth="1"/>
    <x:col min="7" max="7" width="22" hidden="0" customWidth="1"/>
    <x:col min="8" max="8" width="47" hidden="0" customWidth="1"/>
    <x:col min="9" max="9" width="38" hidden="0" customWidth="1"/>
  </x:cols>
  <x:sheetData>
    <x:row r="1" ht="32" customHeight="1">
      <x:c r="A1" s="5" t="str">
        <x:v>ID</x:v>
      </x:c>
      <x:c r="B1" s="5" t="str">
        <x:v>Pièces</x:v>
      </x:c>
      <x:c r="C1" s="5" t="str">
        <x:v>Observation / fait</x:v>
      </x:c>
      <x:c r="D1" s="5" t="str">
        <x:v>Qualification / réserve</x:v>
      </x:c>
      <x:c r="E1" s="5" t="str">
        <x:v>Processus associé</x:v>
      </x:c>
      <x:c r="F1" s="5" t="str">
        <x:v>Scénario de risque</x:v>
      </x:c>
      <x:c r="G1" s="5" t="str">
        <x:v>Priorité justifiée</x:v>
      </x:c>
      <x:c r="H1" s="5" t="str">
        <x:v>Recommandation et pilote</x:v>
      </x:c>
      <x:c r="I1" s="5" t="str">
        <x:v>Preuve de clôture</x:v>
      </x:c>
    </x:row>
    <x:row r="2" ht="32" customHeight="1">
      <x:c r="A2" s="10" t="str">
        <x:v>C01</x:v>
      </x:c>
      <x:c r="B2" s="10" t="str">
        <x:v>T03/T04</x:v>
      </x:c>
      <x:c r="C2" s="10" t="str">
        <x:v>6/10 comptes MFA</x:v>
      </x:c>
      <x:c r="D2" s="10" t="str">
        <x:v>À examiner</x:v>
      </x:c>
      <x:c r="E2" s="10" t="str">
        <x:v>Exploiter les mesures SSI</x:v>
      </x:c>
      <x:c r="F2" s="10" t="str"/>
      <x:c r="G2" s="10" t="str"/>
      <x:c r="H2" s="10" t="str"/>
      <x:c r="I2" s="10" t="str"/>
    </x:row>
    <x:row r="3" ht="32" customHeight="1">
      <x:c r="A3" s="10" t="str">
        <x:v>C02</x:v>
      </x:c>
      <x:c r="B3" s="10" t="str">
        <x:v>T02</x:v>
      </x:c>
      <x:c r="C3" s="10" t="str">
        <x:v>FW-31 Any VLAN40 vers sauvegardes</x:v>
      </x:c>
      <x:c r="D3" s="10" t="str">
        <x:v>À examiner</x:v>
      </x:c>
      <x:c r="E3" s="10" t="str">
        <x:v>Concevoir / Réaliser les mesures SSI</x:v>
      </x:c>
      <x:c r="F3" s="10" t="str"/>
      <x:c r="G3" s="10" t="str"/>
      <x:c r="H3" s="10" t="str"/>
      <x:c r="I3" s="10" t="str"/>
    </x:row>
    <x:row r="4" ht="32" customHeight="1">
      <x:c r="A4" s="10" t="str">
        <x:v>C03</x:v>
      </x:c>
      <x:c r="B4" s="10" t="str">
        <x:v>T05/T06</x:v>
      </x:c>
      <x:c r="C4" s="10" t="str">
        <x:v>APP01 patch critique retardé</x:v>
      </x:c>
      <x:c r="D4" s="10" t="str">
        <x:v>À examiner</x:v>
      </x:c>
      <x:c r="E4" s="10" t="str">
        <x:v>Exploiter les mesures SSI</x:v>
      </x:c>
      <x:c r="F4" s="10" t="str"/>
      <x:c r="G4" s="10" t="str"/>
      <x:c r="H4" s="10" t="str"/>
      <x:c r="I4" s="10" t="str"/>
    </x:row>
    <x:row r="5" ht="32" customHeight="1">
      <x:c r="A5" s="10" t="str">
        <x:v>C04</x:v>
      </x:c>
      <x:c r="B5" s="10" t="str">
        <x:v>T07/T08</x:v>
      </x:c>
      <x:c r="C5" s="10" t="str">
        <x:v>AL-1048 fermée sans ticket</x:v>
      </x:c>
      <x:c r="D5" s="10" t="str">
        <x:v>À examiner</x:v>
      </x:c>
      <x:c r="E5" s="10" t="str">
        <x:v>Superviser la SSI</x:v>
      </x:c>
      <x:c r="F5" s="10" t="str"/>
      <x:c r="G5" s="10" t="str"/>
      <x:c r="H5" s="10" t="str"/>
      <x:c r="I5" s="10" t="str"/>
    </x:row>
    <x:row r="6" ht="32" customHeight="1">
      <x:c r="A6" s="10" t="str">
        <x:v>C05</x:v>
      </x:c>
      <x:c r="B6" s="10" t="str">
        <x:v>T09</x:v>
      </x:c>
      <x:c r="C6" s="10" t="str">
        <x:v>PV restauration 2/9</x:v>
      </x:c>
      <x:c r="D6" s="10" t="str">
        <x:v>À examiner</x:v>
      </x:c>
      <x:c r="E6" s="10" t="str">
        <x:v>Exploiter les mesures SSI</x:v>
      </x:c>
      <x:c r="F6" s="10" t="str"/>
      <x:c r="G6" s="10" t="str"/>
      <x:c r="H6" s="10" t="str"/>
      <x:c r="I6" s="10" t="str"/>
    </x:row>
    <x:row r="7" ht="32" customHeight="1">
      <x:c r="A7" s="10" t="str">
        <x:v>C06</x:v>
      </x:c>
      <x:c r="B7" s="10" t="str"/>
      <x:c r="C7" s="10" t="str"/>
      <x:c r="D7" s="10" t="str"/>
      <x:c r="E7" s="10" t="str"/>
      <x:c r="F7" s="10" t="str"/>
      <x:c r="G7" s="10" t="str"/>
      <x:c r="H7" s="10" t="str"/>
      <x:c r="I7" s="10" t="str"/>
    </x:row>
    <x:row r="8" ht="32" customHeight="1">
      <x:c r="A8" s="10" t="str">
        <x:v>C07</x:v>
      </x:c>
      <x:c r="B8" s="10" t="str"/>
      <x:c r="C8" s="10" t="str"/>
      <x:c r="D8" s="10" t="str"/>
      <x:c r="E8" s="10" t="str"/>
      <x:c r="F8" s="10" t="str"/>
      <x:c r="G8" s="10" t="str"/>
      <x:c r="H8" s="10" t="str"/>
      <x:c r="I8" s="10" t="str"/>
    </x:row>
    <x:row r="9" ht="32" customHeight="1">
      <x:c r="A9" s="10" t="str">
        <x:v>C08</x:v>
      </x:c>
      <x:c r="B9" s="10" t="str"/>
      <x:c r="C9" s="10" t="str"/>
      <x:c r="D9" s="10" t="str"/>
      <x:c r="E9" s="10" t="str"/>
      <x:c r="F9" s="10" t="str"/>
      <x:c r="G9" s="10" t="str"/>
      <x:c r="H9" s="10" t="str"/>
      <x:c r="I9" s="10" t="str"/>
    </x:row>
    <x:row r="10" ht="32" customHeight="1">
      <x:c r="A10" s="10" t="str">
        <x:v>C09</x:v>
      </x:c>
      <x:c r="B10" s="10" t="str"/>
      <x:c r="C10" s="10" t="str"/>
      <x:c r="D10" s="10" t="str"/>
      <x:c r="E10" s="10" t="str"/>
      <x:c r="F10" s="10" t="str"/>
      <x:c r="G10" s="10" t="str"/>
      <x:c r="H10" s="10" t="str"/>
      <x:c r="I10" s="10" t="str"/>
    </x:row>
    <x:row r="11" ht="32" customHeight="1">
      <x:c r="A11" s="10" t="str">
        <x:v>C10</x:v>
      </x:c>
      <x:c r="B11" s="10" t="str"/>
      <x:c r="C11" s="10" t="str"/>
      <x:c r="D11" s="10" t="str"/>
      <x:c r="E11" s="10" t="str"/>
      <x:c r="F11" s="10" t="str"/>
      <x:c r="G11" s="10" t="str"/>
      <x:c r="H11" s="10" t="str"/>
      <x:c r="I11" s="10" t="str"/>
    </x:row>
    <x:row r="12" ht="32" customHeight="1">
      <x:c r="A12" s="10" t="str">
        <x:v>C11</x:v>
      </x:c>
      <x:c r="B12" s="10" t="str"/>
      <x:c r="C12" s="10" t="str"/>
      <x:c r="D12" s="10" t="str"/>
      <x:c r="E12" s="10" t="str"/>
      <x:c r="F12" s="10" t="str"/>
      <x:c r="G12" s="10" t="str"/>
      <x:c r="H12" s="10" t="str"/>
      <x:c r="I12" s="10" t="str"/>
    </x:row>
    <x:row r="13" ht="32" customHeight="1">
      <x:c r="A13" s="10" t="str">
        <x:v>C12</x:v>
      </x:c>
      <x:c r="B13" s="10" t="str"/>
      <x:c r="C13" s="10" t="str"/>
      <x:c r="D13" s="10" t="str"/>
      <x:c r="E13" s="10" t="str"/>
      <x:c r="F13" s="10" t="str"/>
      <x:c r="G13" s="10" t="str"/>
      <x:c r="H13" s="10" t="str"/>
      <x:c r="I13" s="10" t="str"/>
    </x:row>
    <x:row r="14" ht="32" customHeight="1">
      <x:c r="A14" s="10" t="str">
        <x:v>C13</x:v>
      </x:c>
      <x:c r="B14" s="10" t="str"/>
      <x:c r="C14" s="10" t="str"/>
      <x:c r="D14" s="10" t="str"/>
      <x:c r="E14" s="10" t="str"/>
      <x:c r="F14" s="10" t="str"/>
      <x:c r="G14" s="10" t="str"/>
      <x:c r="H14" s="10" t="str"/>
      <x:c r="I14" s="10" t="str"/>
    </x:row>
    <x:row r="15" ht="32" customHeight="1">
      <x:c r="A15" s="10" t="str">
        <x:v>C14</x:v>
      </x:c>
      <x:c r="B15" s="10" t="str"/>
      <x:c r="C15" s="10" t="str"/>
      <x:c r="D15" s="10" t="str"/>
      <x:c r="E15" s="10" t="str"/>
      <x:c r="F15" s="10" t="str"/>
      <x:c r="G15" s="10" t="str"/>
      <x:c r="H15" s="10" t="str"/>
      <x:c r="I15" s="10" t="str"/>
    </x:row>
    <x:row r="16" ht="32" customHeight="1">
      <x:c r="A16" s="10" t="str">
        <x:v>C15</x:v>
      </x:c>
      <x:c r="B16" s="10" t="str"/>
      <x:c r="C16" s="10" t="str"/>
      <x:c r="D16" s="10" t="str"/>
      <x:c r="E16" s="10" t="str"/>
      <x:c r="F16" s="10" t="str"/>
      <x:c r="G16" s="10" t="str"/>
      <x:c r="H16" s="10" t="str"/>
      <x:c r="I16" s="10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40" hidden="0" customWidth="1"/>
    <x:col min="3" max="3" width="22" hidden="0" customWidth="1"/>
    <x:col min="4" max="4" width="27" hidden="0" customWidth="1"/>
    <x:col min="5" max="5" width="43" hidden="0" customWidth="1"/>
    <x:col min="6" max="6" width="38" hidden="0" customWidth="1"/>
    <x:col min="7" max="7" width="17" hidden="0" customWidth="1"/>
    <x:col min="8" max="8" width="23" hidden="0" customWidth="1"/>
    <x:col min="9" max="9" width="16" hidden="0" customWidth="1"/>
    <x:col min="10" max="10" width="45" hidden="0" customWidth="1"/>
    <x:col min="11" max="11" width="22" hidden="0" customWidth="1"/>
  </x:cols>
  <x:sheetData>
    <x:row r="1" ht="32" customHeight="1">
      <x:c r="A1" s="5" t="str">
        <x:v>ID</x:v>
      </x:c>
      <x:c r="B1" s="5" t="str">
        <x:v>Événement redouté</x:v>
      </x:c>
      <x:c r="C1" s="5" t="str">
        <x:v>Actif</x:v>
      </x:c>
      <x:c r="D1" s="5" t="str">
        <x:v>Menace / source</x:v>
      </x:c>
      <x:c r="E1" s="5" t="str">
        <x:v>Vulnérabilité ou faiblesse</x:v>
      </x:c>
      <x:c r="F1" s="5" t="str">
        <x:v>Mesures existantes</x:v>
      </x:c>
      <x:c r="G1" s="5" t="str">
        <x:v>Impact 1–4</x:v>
      </x:c>
      <x:c r="H1" s="5" t="str">
        <x:v>Vraisemblance 1–4</x:v>
      </x:c>
      <x:c r="I1" s="5" t="str">
        <x:v>Score I×V</x:v>
      </x:c>
      <x:c r="J1" s="5" t="str">
        <x:v>Décision / traitement</x:v>
      </x:c>
      <x:c r="K1" s="5" t="str">
        <x:v>Preuves</x:v>
      </x:c>
    </x:row>
    <x:row r="2" ht="32" customHeight="1">
      <x:c r="A2" s="10" t="str">
        <x:v>R01</x:v>
      </x:c>
      <x:c r="B2" s="10" t="str"/>
      <x:c r="C2" s="10" t="str"/>
      <x:c r="D2" s="10" t="str"/>
      <x:c r="E2" s="10" t="str"/>
      <x:c r="F2" s="10" t="str"/>
      <x:c r="G2" s="10"/>
      <x:c r="H2" s="10"/>
      <x:c r="I2" s="10" t="str">
        <x:f>IF(OR(G2="",H2=""),"",G2*H2)</x:f>
      </x:c>
      <x:c r="J2" s="10" t="str"/>
      <x:c r="K2" s="10" t="str"/>
    </x:row>
    <x:row r="3" ht="32" customHeight="1">
      <x:c r="A3" s="10" t="str">
        <x:v>R02</x:v>
      </x:c>
      <x:c r="B3" s="10" t="str"/>
      <x:c r="C3" s="10" t="str"/>
      <x:c r="D3" s="10" t="str"/>
      <x:c r="E3" s="10" t="str"/>
      <x:c r="F3" s="10" t="str"/>
      <x:c r="G3" s="10"/>
      <x:c r="H3" s="10"/>
      <x:c r="I3" s="10" t="str">
        <x:f>IF(OR(G3="",H3=""),"",G3*H3)</x:f>
      </x:c>
      <x:c r="J3" s="10" t="str"/>
      <x:c r="K3" s="10" t="str"/>
    </x:row>
    <x:row r="4" ht="32" customHeight="1">
      <x:c r="A4" s="10" t="str">
        <x:v>R03</x:v>
      </x:c>
      <x:c r="B4" s="10" t="str"/>
      <x:c r="C4" s="10" t="str"/>
      <x:c r="D4" s="10" t="str"/>
      <x:c r="E4" s="10" t="str"/>
      <x:c r="F4" s="10" t="str"/>
      <x:c r="G4" s="10"/>
      <x:c r="H4" s="10"/>
      <x:c r="I4" s="10" t="str">
        <x:f>IF(OR(G4="",H4=""),"",G4*H4)</x:f>
      </x:c>
      <x:c r="J4" s="10" t="str"/>
      <x:c r="K4" s="10" t="str"/>
    </x:row>
    <x:row r="5" ht="32" customHeight="1">
      <x:c r="A5" s="10" t="str">
        <x:v>R04</x:v>
      </x:c>
      <x:c r="B5" s="10" t="str"/>
      <x:c r="C5" s="10" t="str"/>
      <x:c r="D5" s="10" t="str"/>
      <x:c r="E5" s="10" t="str"/>
      <x:c r="F5" s="10" t="str"/>
      <x:c r="G5" s="10"/>
      <x:c r="H5" s="10"/>
      <x:c r="I5" s="10" t="str">
        <x:f>IF(OR(G5="",H5=""),"",G5*H5)</x:f>
      </x:c>
      <x:c r="J5" s="10" t="str"/>
      <x:c r="K5" s="10" t="str"/>
    </x:row>
    <x:row r="6" ht="32" customHeight="1">
      <x:c r="A6" s="10" t="str">
        <x:v>R05</x:v>
      </x:c>
      <x:c r="B6" s="10" t="str"/>
      <x:c r="C6" s="10" t="str"/>
      <x:c r="D6" s="10" t="str"/>
      <x:c r="E6" s="10" t="str"/>
      <x:c r="F6" s="10" t="str"/>
      <x:c r="G6" s="10"/>
      <x:c r="H6" s="10"/>
      <x:c r="I6" s="10" t="str">
        <x:f>IF(OR(G6="",H6=""),"",G6*H6)</x:f>
      </x:c>
      <x:c r="J6" s="10" t="str"/>
      <x:c r="K6" s="10" t="str"/>
    </x:row>
    <x:row r="7" ht="32" customHeight="1">
      <x:c r="A7" s="10" t="str">
        <x:v>R06</x:v>
      </x:c>
      <x:c r="B7" s="10" t="str"/>
      <x:c r="C7" s="10" t="str"/>
      <x:c r="D7" s="10" t="str"/>
      <x:c r="E7" s="10" t="str"/>
      <x:c r="F7" s="10" t="str"/>
      <x:c r="G7" s="10"/>
      <x:c r="H7" s="10"/>
      <x:c r="I7" s="10" t="str">
        <x:f>IF(OR(G7="",H7=""),"",G7*H7)</x:f>
      </x:c>
      <x:c r="J7" s="10" t="str"/>
      <x:c r="K7" s="10" t="str"/>
    </x:row>
    <x:row r="8" ht="32" customHeight="1">
      <x:c r="A8" s="10" t="str">
        <x:v>R07</x:v>
      </x:c>
      <x:c r="B8" s="10" t="str"/>
      <x:c r="C8" s="10" t="str"/>
      <x:c r="D8" s="10" t="str"/>
      <x:c r="E8" s="10" t="str"/>
      <x:c r="F8" s="10" t="str"/>
      <x:c r="G8" s="10"/>
      <x:c r="H8" s="10"/>
      <x:c r="I8" s="10" t="str">
        <x:f>IF(OR(G8="",H8=""),"",G8*H8)</x:f>
      </x:c>
      <x:c r="J8" s="10" t="str"/>
      <x:c r="K8" s="10" t="str"/>
    </x:row>
    <x:row r="9" ht="32" customHeight="1">
      <x:c r="A9" s="10" t="str">
        <x:v>R08</x:v>
      </x:c>
      <x:c r="B9" s="10" t="str"/>
      <x:c r="C9" s="10" t="str"/>
      <x:c r="D9" s="10" t="str"/>
      <x:c r="E9" s="10" t="str"/>
      <x:c r="F9" s="10" t="str"/>
      <x:c r="G9" s="10"/>
      <x:c r="H9" s="10"/>
      <x:c r="I9" s="10" t="str">
        <x:f>IF(OR(G9="",H9=""),"",G9*H9)</x:f>
      </x:c>
      <x:c r="J9" s="10" t="str"/>
      <x:c r="K9" s="10" t="str"/>
    </x:row>
    <x:row r="10" ht="32" customHeight="1">
      <x:c r="A10" s="10" t="str">
        <x:v>R09</x:v>
      </x:c>
      <x:c r="B10" s="10" t="str"/>
      <x:c r="C10" s="10" t="str"/>
      <x:c r="D10" s="10" t="str"/>
      <x:c r="E10" s="10" t="str"/>
      <x:c r="F10" s="10" t="str"/>
      <x:c r="G10" s="10"/>
      <x:c r="H10" s="10"/>
      <x:c r="I10" s="10" t="str">
        <x:f>IF(OR(G10="",H10=""),"",G10*H10)</x:f>
      </x:c>
      <x:c r="J10" s="10" t="str"/>
      <x:c r="K10" s="10" t="str"/>
    </x:row>
    <x:row r="11" ht="32" customHeight="1">
      <x:c r="A11" s="10" t="str">
        <x:v>R10</x:v>
      </x:c>
      <x:c r="B11" s="10" t="str"/>
      <x:c r="C11" s="10" t="str"/>
      <x:c r="D11" s="10" t="str"/>
      <x:c r="E11" s="10" t="str"/>
      <x:c r="F11" s="10" t="str"/>
      <x:c r="G11" s="10"/>
      <x:c r="H11" s="10"/>
      <x:c r="I11" s="10" t="str">
        <x:f>IF(OR(G11="",H11=""),"",G11*H11)</x:f>
      </x:c>
      <x:c r="J11" s="10" t="str"/>
      <x:c r="K11" s="10" t="str"/>
    </x:row>
  </x:sheetData>
  <x:dataValidations count="1">
    <x:dataValidation type="list" sqref="G2:H11">
      <x:formula1>"1,2,3,4"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45" hidden="0" customWidth="1"/>
    <x:col min="3" max="3" width="23" hidden="0" customWidth="1"/>
    <x:col min="4" max="4" width="15" hidden="0" customWidth="1"/>
    <x:col min="5" max="5" width="22" hidden="0" customWidth="1"/>
    <x:col min="6" max="6" width="45" hidden="0" customWidth="1"/>
    <x:col min="7" max="7" width="23" hidden="0" customWidth="1"/>
    <x:col min="8" max="8" width="50" hidden="0" customWidth="1"/>
  </x:cols>
  <x:sheetData>
    <x:row r="1" ht="32" customHeight="1">
      <x:c r="A1" s="5" t="str">
        <x:v>ID</x:v>
      </x:c>
      <x:c r="B1" s="5" t="str">
        <x:v>Mesure</x:v>
      </x:c>
      <x:c r="C1" s="5" t="str">
        <x:v>Source</x:v>
      </x:c>
      <x:c r="D1" s="5" t="str">
        <x:v>Coût €</x:v>
      </x:c>
      <x:c r="E1" s="5" t="str">
        <x:v>Pilote</x:v>
      </x:c>
      <x:c r="F1" s="5" t="str">
        <x:v>Échéance et livrable</x:v>
      </x:c>
      <x:c r="G1" s="5" t="str">
        <x:v>Retenir 1 / différer 0</x:v>
      </x:c>
      <x:c r="H1" s="5" t="str">
        <x:v>Justification / risque</x:v>
      </x:c>
    </x:row>
    <x:row r="2" ht="32" customHeight="1">
      <x:c r="A2" s="10" t="str">
        <x:v>A01</x:v>
      </x:c>
      <x:c r="B2" s="10" t="str">
        <x:v>Risques : registre / méthode</x:v>
      </x:c>
      <x:c r="C2" s="10" t="str">
        <x:v>P16</x:v>
      </x:c>
      <x:c r="D2" s="10" t="n">
        <x:v>18000</x:v>
      </x:c>
      <x:c r="E2" s="10" t="str"/>
      <x:c r="F2" s="10" t="str"/>
      <x:c r="G2" s="10" t="n">
        <x:v>0</x:v>
      </x:c>
      <x:c r="H2" s="10" t="str"/>
    </x:row>
    <x:row r="3" ht="32" customHeight="1">
      <x:c r="A3" s="10" t="str">
        <x:v>A02</x:v>
      </x:c>
      <x:c r="B3" s="10" t="str">
        <x:v>Supervision : règles et reporting</x:v>
      </x:c>
      <x:c r="C3" s="10" t="str">
        <x:v>P16</x:v>
      </x:c>
      <x:c r="D3" s="10" t="n">
        <x:v>16000</x:v>
      </x:c>
      <x:c r="E3" s="10" t="str"/>
      <x:c r="F3" s="10" t="str"/>
      <x:c r="G3" s="10" t="n">
        <x:v>0</x:v>
      </x:c>
      <x:c r="H3" s="10" t="str"/>
    </x:row>
    <x:row r="4" ht="32" customHeight="1">
      <x:c r="A4" s="10" t="str">
        <x:v>A03</x:v>
      </x:c>
      <x:c r="B4" s="10" t="str">
        <x:v>PSSI / sensibilisation</x:v>
      </x:c>
      <x:c r="C4" s="10" t="str">
        <x:v>P16</x:v>
      </x:c>
      <x:c r="D4" s="10" t="n">
        <x:v>14000</x:v>
      </x:c>
      <x:c r="E4" s="10" t="str"/>
      <x:c r="F4" s="10" t="str"/>
      <x:c r="G4" s="10" t="n">
        <x:v>0</x:v>
      </x:c>
      <x:c r="H4" s="10" t="str"/>
    </x:row>
    <x:row r="5" ht="32" customHeight="1">
      <x:c r="A5" s="10" t="str">
        <x:v>A04</x:v>
      </x:c>
      <x:c r="B5" s="10" t="str">
        <x:v>Standardisation conception / réalisation</x:v>
      </x:c>
      <x:c r="C5" s="10" t="str">
        <x:v>P16</x:v>
      </x:c>
      <x:c r="D5" s="10" t="n">
        <x:v>24000</x:v>
      </x:c>
      <x:c r="E5" s="10" t="str"/>
      <x:c r="F5" s="10" t="str"/>
      <x:c r="G5" s="10" t="n">
        <x:v>0</x:v>
      </x:c>
      <x:c r="H5" s="10" t="str"/>
    </x:row>
    <x:row r="6" ht="32" customHeight="1">
      <x:c r="A6" s="10" t="str">
        <x:v>A05</x:v>
      </x:c>
      <x:c r="B6" s="10" t="str">
        <x:v>Restauration et gestion incident</x:v>
      </x:c>
      <x:c r="C6" s="10" t="str">
        <x:v>P16 / T10 (même lot)</x:v>
      </x:c>
      <x:c r="D6" s="10" t="n">
        <x:v>22000</x:v>
      </x:c>
      <x:c r="E6" s="10" t="str"/>
      <x:c r="F6" s="10" t="str"/>
      <x:c r="G6" s="10" t="n">
        <x:v>0</x:v>
      </x:c>
      <x:c r="H6" s="10" t="str"/>
    </x:row>
    <x:row r="7" ht="32" customHeight="1">
      <x:c r="A7" s="10" t="str">
        <x:v>A06</x:v>
      </x:c>
      <x:c r="B7" s="10" t="str">
        <x:v>Outillage quantitatif</x:v>
      </x:c>
      <x:c r="C7" s="10" t="str">
        <x:v>P16</x:v>
      </x:c>
      <x:c r="D7" s="10" t="n">
        <x:v>35000</x:v>
      </x:c>
      <x:c r="E7" s="10" t="str"/>
      <x:c r="F7" s="10" t="str"/>
      <x:c r="G7" s="10" t="n">
        <x:v>0</x:v>
      </x:c>
      <x:c r="H7" s="10" t="str"/>
    </x:row>
    <x:row r="8" ht="32" customHeight="1">
      <x:c r="A8" s="10" t="str">
        <x:v>A07</x:v>
      </x:c>
      <x:c r="B8" s="10" t="str">
        <x:v>Conduite du changement</x:v>
      </x:c>
      <x:c r="C8" s="10" t="str">
        <x:v>P16</x:v>
      </x:c>
      <x:c r="D8" s="10" t="n">
        <x:v>14000</x:v>
      </x:c>
      <x:c r="E8" s="10" t="str"/>
      <x:c r="F8" s="10" t="str"/>
      <x:c r="G8" s="10" t="n">
        <x:v>0</x:v>
      </x:c>
      <x:c r="H8" s="10" t="str"/>
    </x:row>
    <x:row r="9" ht="32" customHeight="1">
      <x:c r="A9" s="10" t="str">
        <x:v>A08</x:v>
      </x:c>
      <x:c r="B9" s="10" t="str">
        <x:v>MFA renforcé / privilèges</x:v>
      </x:c>
      <x:c r="C9" s="10" t="str">
        <x:v>T10</x:v>
      </x:c>
      <x:c r="D9" s="10" t="n">
        <x:v>28000</x:v>
      </x:c>
      <x:c r="E9" s="10" t="str"/>
      <x:c r="F9" s="10" t="str"/>
      <x:c r="G9" s="10" t="n">
        <x:v>0</x:v>
      </x:c>
      <x:c r="H9" s="10" t="str"/>
    </x:row>
    <x:row r="10" ht="32" customHeight="1">
      <x:c r="A10" s="10" t="str">
        <x:v>A09</x:v>
      </x:c>
      <x:c r="B10" s="10" t="str">
        <x:v>Programme vulnérabilités / patch</x:v>
      </x:c>
      <x:c r="C10" s="10" t="str">
        <x:v>T10</x:v>
      </x:c>
      <x:c r="D10" s="10" t="n">
        <x:v>18000</x:v>
      </x:c>
      <x:c r="E10" s="10" t="str"/>
      <x:c r="F10" s="10" t="str"/>
      <x:c r="G10" s="10" t="n">
        <x:v>0</x:v>
      </x:c>
      <x:c r="H10" s="10" t="str"/>
    </x:row>
    <x:row r="11" ht="32" customHeight="1">
      <x:c r="A11" s="10" t="str">
        <x:v>A10</x:v>
      </x:c>
      <x:c r="B11" s="10" t="str">
        <x:v>Segmentation réseau</x:v>
      </x:c>
      <x:c r="C11" s="10" t="str">
        <x:v>T10</x:v>
      </x:c>
      <x:c r="D11" s="10" t="n">
        <x:v>30000</x:v>
      </x:c>
      <x:c r="E11" s="10" t="str"/>
      <x:c r="F11" s="10" t="str"/>
      <x:c r="G11" s="10" t="n">
        <x:v>0</x:v>
      </x:c>
      <x:c r="H11" s="10" t="str"/>
    </x:row>
    <x:row r="12" ht="32" customHeight="1">
      <x:c r="A12" s="10" t="str">
        <x:v>A11</x:v>
      </x:c>
      <x:c r="B12" s="10" t="str">
        <x:v>SIEM / détection / workflow</x:v>
      </x:c>
      <x:c r="C12" s="10" t="str">
        <x:v>T10</x:v>
      </x:c>
      <x:c r="D12" s="10" t="n">
        <x:v>35000</x:v>
      </x:c>
      <x:c r="E12" s="10" t="str"/>
      <x:c r="F12" s="10" t="str"/>
      <x:c r="G12" s="10" t="n">
        <x:v>0</x:v>
      </x:c>
      <x:c r="H12" s="10" t="str"/>
    </x:row>
    <x:row r="15">
      <x:c r="B15" t="str">
        <x:v>Plafond</x:v>
      </x:c>
      <x:c r="C15" t="n">
        <x:v>120000</x:v>
      </x:c>
    </x:row>
    <x:row r="16">
      <x:c r="B16" t="str">
        <x:v>Engagement total</x:v>
      </x:c>
      <x:c r="C16" t="n">
        <x:f>SUMPRODUCT(D2:D12,G2:G12)</x:f>
        <x:v>0</x:v>
      </x:c>
    </x:row>
    <x:row r="17">
      <x:c r="B17" t="str">
        <x:v>Marge</x:v>
      </x:c>
      <x:c r="C17" t="n">
        <x:f>C15-C16</x:f>
        <x:v>120000</x:v>
      </x:c>
    </x:row>
    <x:row r="18">
      <x:c r="B18" t="str">
        <x:v>Statut</x:v>
      </x:c>
      <x:c r="C18" t="str">
        <x:f>IF(C16&lt;=C15,"BUDGET RESPECTÉ","DÉPASSEMENT")</x:f>
        <x:v>BUDGET RESPECTÉ</x:v>
      </x:c>
    </x:row>
    <x:row r="20">
      <x:c r="B20" s="10" t="str">
        <x:v>Attention : A05 et le lot T10 restauration à 22 000 € désignent la même prestation et ne doivent pas être ajoutés deux fois.</x:v>
      </x:c>
      <x:c r="C20" s="10"/>
      <x:c r="D20" s="10"/>
      <x:c r="E20" s="10"/>
      <x:c r="F20" s="10"/>
      <x:c r="G20" s="10"/>
      <x:c r="H20" s="10"/>
    </x:row>
  </x:sheetData>
  <x:dataValidations count="1">
    <x:dataValidation type="list" sqref="G2:G12">
      <x:formula1>"0,1"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38" hidden="0" customWidth="1"/>
    <x:col min="3" max="3" width="16" hidden="0" customWidth="1"/>
    <x:col min="4" max="4" width="16" hidden="0" customWidth="1"/>
    <x:col min="5" max="5" width="50" hidden="0" customWidth="1"/>
  </x:cols>
  <x:sheetData>
    <x:row r="1" ht="32" customHeight="1">
      <x:c r="A1" s="5" t="str">
        <x:v>Bloc</x:v>
      </x:c>
      <x:c r="B1" s="5" t="str">
        <x:v>Évaluation</x:v>
      </x:c>
      <x:c r="C1" s="5" t="str">
        <x:v>Points max</x:v>
      </x:c>
      <x:c r="D1" s="5" t="str">
        <x:v>Points obtenus</x:v>
      </x:c>
      <x:c r="E1" s="5" t="str">
        <x:v>Commentaire</x:v>
      </x:c>
    </x:row>
    <x:row r="2" ht="32" customHeight="1">
      <x:c r="A2" s="10" t="str">
        <x:v>G1</x:v>
      </x:c>
      <x:c r="B2" s="10" t="str">
        <x:v>Périmètre</x:v>
      </x:c>
      <x:c r="C2" s="10" t="n">
        <x:v>1.5</x:v>
      </x:c>
      <x:c r="D2" s="10"/>
      <x:c r="E2" s="10" t="str"/>
    </x:row>
    <x:row r="3" ht="32" customHeight="1">
      <x:c r="A3" s="10" t="str">
        <x:v>G2</x:v>
      </x:c>
      <x:c r="B3" s="10" t="str">
        <x:v>Niveau adéquat</x:v>
      </x:c>
      <x:c r="C3" s="10" t="n">
        <x:v>2.5</x:v>
      </x:c>
      <x:c r="D3" s="10"/>
      <x:c r="E3" s="10" t="str"/>
    </x:row>
    <x:row r="4" ht="32" customHeight="1">
      <x:c r="A4" s="10" t="str">
        <x:v>G3</x:v>
      </x:c>
      <x:c r="B4" s="10" t="str">
        <x:v>7 processus</x:v>
      </x:c>
      <x:c r="C4" s="10" t="n">
        <x:v>3</x:v>
      </x:c>
      <x:c r="D4" s="10"/>
      <x:c r="E4" s="10" t="str"/>
    </x:row>
    <x:row r="5" ht="32" customHeight="1">
      <x:c r="A5" s="10" t="str">
        <x:v>G4</x:v>
      </x:c>
      <x:c r="B5" s="10" t="str">
        <x:v>Risques, plan, budget</x:v>
      </x:c>
      <x:c r="C5" s="10" t="n">
        <x:v>3</x:v>
      </x:c>
      <x:c r="D5" s="10"/>
      <x:c r="E5" s="10" t="str"/>
    </x:row>
    <x:row r="6" ht="32" customHeight="1">
      <x:c r="A6" s="10" t="str">
        <x:v>T1</x:v>
      </x:c>
      <x:c r="B6" s="10" t="str">
        <x:v>Architecture / segmentation</x:v>
      </x:c>
      <x:c r="C6" s="10" t="n">
        <x:v>2</x:v>
      </x:c>
      <x:c r="D6" s="10"/>
      <x:c r="E6" s="10" t="str"/>
    </x:row>
    <x:row r="7" ht="32" customHeight="1">
      <x:c r="A7" s="10" t="str">
        <x:v>T2</x:v>
      </x:c>
      <x:c r="B7" s="10" t="str">
        <x:v>IAM / MFA</x:v>
      </x:c>
      <x:c r="C7" s="10" t="n">
        <x:v>2</x:v>
      </x:c>
      <x:c r="D7" s="10"/>
      <x:c r="E7" s="10" t="str"/>
    </x:row>
    <x:row r="8" ht="32" customHeight="1">
      <x:c r="A8" s="10" t="str">
        <x:v>T3</x:v>
      </x:c>
      <x:c r="B8" s="10" t="str">
        <x:v>Vulnérabilités</x:v>
      </x:c>
      <x:c r="C8" s="10" t="n">
        <x:v>2</x:v>
      </x:c>
      <x:c r="D8" s="10"/>
      <x:c r="E8" s="10" t="str"/>
    </x:row>
    <x:row r="9" ht="32" customHeight="1">
      <x:c r="A9" s="10" t="str">
        <x:v>T4</x:v>
      </x:c>
      <x:c r="B9" s="10" t="str">
        <x:v>Logs et sauvegardes</x:v>
      </x:c>
      <x:c r="C9" s="10" t="n">
        <x:v>2</x:v>
      </x:c>
      <x:c r="D9" s="10"/>
      <x:c r="E9" s="10" t="str"/>
    </x:row>
    <x:row r="10" ht="32" customHeight="1">
      <x:c r="A10" s="10" t="str">
        <x:v>T5</x:v>
      </x:c>
      <x:c r="B10" s="10" t="str">
        <x:v>Corrélation et conclusions</x:v>
      </x:c>
      <x:c r="C10" s="10" t="n">
        <x:v>2</x:v>
      </x:c>
      <x:c r="D10" s="10"/>
      <x:c r="E10" s="10" t="str"/>
    </x:row>
    <x:row r="13">
      <x:c r="B13" t="str">
        <x:v>Total gouvernance</x:v>
      </x:c>
      <x:c r="C13" t="n">
        <x:f>SUM(D2:D5)</x:f>
        <x:v>0</x:v>
      </x:c>
    </x:row>
    <x:row r="14">
      <x:c r="B14" t="str">
        <x:v>Total technique</x:v>
      </x:c>
      <x:c r="C14" t="n">
        <x:f>SUM(D6:D10)</x:f>
        <x:v>0</x:v>
      </x:c>
    </x:row>
    <x:row r="15">
      <x:c r="B15" t="str">
        <x:v>NOTE / 20</x:v>
      </x:c>
      <x:c r="C15" t="n">
        <x:f>SUM(C13:C14)</x:f>
        <x:v>0</x:v>
      </x:c>
    </x:row>
    <x:row r="17">
      <x:c r="A17" t="str">
        <x:v>Vérification des maxima</x:v>
      </x:c>
      <x:c r="B17" t="str">
        <x:v>Gouvernance 10</x:v>
      </x:c>
      <x:c r="C17" t="str">
        <x:v>Technique 10</x:v>
      </x:c>
      <x:c r="D17" t="str">
        <x:v>Total 20</x:v>
      </x:c>
    </x:row>
  </x:sheetData>
  <x:pageMargins left="0.7" right="0.7" top="0.75" bottom="0.75" header="0.3" footer="0.3"/>
</x:worksheet>
</file>